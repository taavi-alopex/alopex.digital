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12"/>
    </font>
    <font>
      <name val="Arial"/>
      <b val="1"/>
      <color rgb="00282C3E"/>
      <sz val="10"/>
    </font>
    <font>
      <name val="Arial"/>
      <b val="1"/>
      <color rgb="002D6A4F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61929"/>
        <bgColor rgb="00161929"/>
      </patternFill>
    </fill>
    <fill>
      <patternFill patternType="solid">
        <fgColor rgb="002D6A4F"/>
        <bgColor rgb="002D6A4F"/>
      </patternFill>
    </fill>
    <fill>
      <patternFill patternType="solid">
        <fgColor rgb="00F8FAF9"/>
        <bgColor rgb="00F8FAF9"/>
      </patternFill>
    </fill>
    <fill>
      <patternFill patternType="solid">
        <fgColor rgb="00FFFBEB"/>
        <bgColor rgb="00FFFBEB"/>
      </patternFill>
    </fill>
    <fill>
      <patternFill patternType="solid">
        <fgColor rgb="00DCFCE7"/>
        <bgColor rgb="00DCFCE7"/>
      </patternFill>
    </fill>
    <fill>
      <patternFill patternType="solid">
        <fgColor rgb="00D4873F"/>
        <bgColor rgb="00D4873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5" fillId="0" borderId="0" pivotButton="0" quotePrefix="0" xfId="0"/>
    <xf numFmtId="164" fontId="5" fillId="6" borderId="1" pivotButton="0" quotePrefix="0" xfId="0"/>
    <xf numFmtId="165" fontId="0" fillId="6" borderId="1" pivotButton="0" quotePrefix="0" xfId="0"/>
    <xf numFmtId="0" fontId="6" fillId="7" borderId="0" applyAlignment="1" pivotButton="0" quotePrefix="0" xfId="0">
      <alignment horizontal="center"/>
    </xf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AUTOMATION ROI CALCULATOR</t>
        </is>
      </c>
    </row>
    <row r="2"/>
    <row r="3">
      <c r="A3" s="2" t="inlineStr">
        <is>
          <t>Alopex Digital | Fill yellow cells - results calculate automatically</t>
        </is>
      </c>
    </row>
    <row r="5">
      <c r="A5" s="3" t="inlineStr">
        <is>
          <t>AUTOMATION 1: New Lead Notifications</t>
        </is>
      </c>
    </row>
    <row r="6">
      <c r="A6" s="4" t="inlineStr">
        <is>
          <t>Metric</t>
        </is>
      </c>
      <c r="B6" s="4" t="inlineStr">
        <is>
          <t>Current</t>
        </is>
      </c>
      <c r="C6" s="4" t="inlineStr">
        <is>
          <t>With Automation</t>
        </is>
      </c>
      <c r="D6" s="4" t="inlineStr">
        <is>
          <t>Improvement</t>
        </is>
      </c>
    </row>
    <row r="7">
      <c r="A7" t="inlineStr">
        <is>
          <t>Average lead response time (minutes)</t>
        </is>
      </c>
      <c r="B7" s="5" t="n"/>
      <c r="C7" s="6" t="n">
        <v>5</v>
      </c>
      <c r="D7" s="6">
        <f>IF(B7&gt;0,B7-C7,"")</f>
        <v/>
      </c>
    </row>
    <row r="8">
      <c r="A8" t="inlineStr">
        <is>
          <t>Leads per month</t>
        </is>
      </c>
      <c r="B8" s="5" t="n"/>
      <c r="C8" s="6">
        <f>B8</f>
        <v/>
      </c>
    </row>
    <row r="9">
      <c r="A9" t="inlineStr">
        <is>
          <t>Current conversion rate (%)</t>
        </is>
      </c>
      <c r="B9" s="5" t="n"/>
      <c r="C9" s="6">
        <f>B9*1.15</f>
        <v/>
      </c>
      <c r="D9" t="inlineStr">
        <is>
          <t>+15%</t>
        </is>
      </c>
    </row>
    <row r="10">
      <c r="A10" t="inlineStr">
        <is>
          <t>Revenue per converted lead (€)</t>
        </is>
      </c>
      <c r="B10" s="5" t="n"/>
      <c r="C10" s="6">
        <f>B10</f>
        <v/>
      </c>
    </row>
    <row r="12">
      <c r="A12" s="7" t="inlineStr">
        <is>
          <t>Monthly conversions (current)</t>
        </is>
      </c>
      <c r="B12" s="8">
        <f>IF(B8&gt;0,B8*(B9/100),0)</f>
        <v/>
      </c>
    </row>
    <row r="13">
      <c r="A13" s="7" t="inlineStr">
        <is>
          <t>Monthly conversions (with automation)</t>
        </is>
      </c>
      <c r="C13" s="8">
        <f>IF(B8&gt;0,B8*(C9/100),0)</f>
        <v/>
      </c>
    </row>
    <row r="14">
      <c r="A14" s="9" t="inlineStr">
        <is>
          <t>ADDITIONAL MONTHLY REVENUE (€)</t>
        </is>
      </c>
      <c r="D14" s="10">
        <f>(C13-B12)*B10</f>
        <v/>
      </c>
    </row>
    <row r="16">
      <c r="A16" s="3" t="inlineStr">
        <is>
          <t>AUTOMATION 2: Meeting No-Show Follow-up</t>
        </is>
      </c>
    </row>
    <row r="17">
      <c r="A17" s="4" t="inlineStr">
        <is>
          <t>Metric</t>
        </is>
      </c>
      <c r="B17" s="4" t="inlineStr">
        <is>
          <t>Current</t>
        </is>
      </c>
      <c r="C17" s="4" t="inlineStr">
        <is>
          <t>With Automation</t>
        </is>
      </c>
      <c r="D17" s="4" t="inlineStr">
        <is>
          <t>Improvement</t>
        </is>
      </c>
    </row>
    <row r="18">
      <c r="A18" t="inlineStr">
        <is>
          <t>Monthly scheduled meetings</t>
        </is>
      </c>
      <c r="B18" s="5" t="n"/>
    </row>
    <row r="19">
      <c r="A19" t="inlineStr">
        <is>
          <t>No-show rate (%)</t>
        </is>
      </c>
      <c r="B19" s="5" t="n"/>
    </row>
    <row r="20">
      <c r="A20" t="inlineStr">
        <is>
          <t>No-shows recovered (%)</t>
        </is>
      </c>
      <c r="B20" s="6" t="n">
        <v>0</v>
      </c>
      <c r="C20" s="6" t="n">
        <v>40</v>
      </c>
      <c r="D20" t="inlineStr">
        <is>
          <t>+40%</t>
        </is>
      </c>
    </row>
    <row r="21">
      <c r="A21" t="inlineStr">
        <is>
          <t>Average deal value (€)</t>
        </is>
      </c>
      <c r="B21" s="5" t="n"/>
    </row>
    <row r="22">
      <c r="A22" t="inlineStr">
        <is>
          <t>Close rate from meeting (%)</t>
        </is>
      </c>
      <c r="B22" s="5" t="n"/>
    </row>
    <row r="24">
      <c r="A24" s="7" t="inlineStr">
        <is>
          <t>Monthly no-shows</t>
        </is>
      </c>
      <c r="B24" s="8">
        <f>B18*(B19/100)</f>
        <v/>
      </c>
    </row>
    <row r="25">
      <c r="A25" s="7" t="inlineStr">
        <is>
          <t>Meetings recovered</t>
        </is>
      </c>
      <c r="C25" s="8">
        <f>B24*(C20/100)</f>
        <v/>
      </c>
    </row>
    <row r="26">
      <c r="A26" s="9" t="inlineStr">
        <is>
          <t>ADDITIONAL MONTHLY REVENUE (€)</t>
        </is>
      </c>
      <c r="D26" s="10">
        <f>C25*B21*(B22/100)</f>
        <v/>
      </c>
    </row>
    <row r="28">
      <c r="A28" s="3" t="inlineStr">
        <is>
          <t>AUTOMATION 3: Deal Stage Updates to Slack</t>
        </is>
      </c>
    </row>
    <row r="29">
      <c r="A29" s="4" t="inlineStr">
        <is>
          <t>Metric</t>
        </is>
      </c>
      <c r="B29" s="4" t="inlineStr">
        <is>
          <t>Current</t>
        </is>
      </c>
      <c r="C29" s="4" t="inlineStr">
        <is>
          <t>With Automation</t>
        </is>
      </c>
      <c r="D29" s="4" t="inlineStr">
        <is>
          <t>Savings</t>
        </is>
      </c>
    </row>
    <row r="30">
      <c r="A30" t="inlineStr">
        <is>
          <t>Hours/week on manual updates</t>
        </is>
      </c>
      <c r="B30" s="5" t="n"/>
      <c r="C30" s="6" t="n">
        <v>0</v>
      </c>
    </row>
    <row r="31">
      <c r="A31" t="inlineStr">
        <is>
          <t>Hourly employee cost (€)</t>
        </is>
      </c>
      <c r="B31" s="5" t="n"/>
    </row>
    <row r="33">
      <c r="A33" s="7" t="inlineStr">
        <is>
          <t>Hours saved per month</t>
        </is>
      </c>
      <c r="D33" s="8">
        <f>B30*4</f>
        <v/>
      </c>
    </row>
    <row r="34">
      <c r="A34" s="9" t="inlineStr">
        <is>
          <t>MONTHLY COST SAVINGS (€)</t>
        </is>
      </c>
      <c r="D34" s="10">
        <f>D33*B31</f>
        <v/>
      </c>
    </row>
    <row r="36">
      <c r="A36" s="3" t="inlineStr">
        <is>
          <t>AUTOMATION 4: Task Creation from Emails</t>
        </is>
      </c>
    </row>
    <row r="37">
      <c r="A37" s="4" t="inlineStr">
        <is>
          <t>Metric</t>
        </is>
      </c>
      <c r="B37" s="4" t="inlineStr">
        <is>
          <t>Current</t>
        </is>
      </c>
      <c r="C37" s="4" t="inlineStr">
        <is>
          <t>With Automation</t>
        </is>
      </c>
      <c r="D37" s="4" t="inlineStr">
        <is>
          <t>Savings</t>
        </is>
      </c>
    </row>
    <row r="38">
      <c r="A38" t="inlineStr">
        <is>
          <t>Emails to tasks per week</t>
        </is>
      </c>
      <c r="B38" s="5" t="n"/>
      <c r="C38" s="6" t="n">
        <v>0</v>
      </c>
    </row>
    <row r="39">
      <c r="A39" t="inlineStr">
        <is>
          <t>Minutes per task creation</t>
        </is>
      </c>
      <c r="B39" s="5" t="n"/>
      <c r="C39" s="6" t="n">
        <v>0</v>
      </c>
    </row>
    <row r="40">
      <c r="A40" t="inlineStr">
        <is>
          <t>Hourly employee cost (€)</t>
        </is>
      </c>
      <c r="B40" s="5" t="n"/>
    </row>
    <row r="42">
      <c r="A42" s="7" t="inlineStr">
        <is>
          <t>Hours saved per month</t>
        </is>
      </c>
      <c r="D42" s="11">
        <f>(B38*B39*4)/60</f>
        <v/>
      </c>
    </row>
    <row r="43">
      <c r="A43" s="9" t="inlineStr">
        <is>
          <t>MONTHLY COST SAVINGS (€)</t>
        </is>
      </c>
      <c r="D43" s="10">
        <f>D42*B40</f>
        <v/>
      </c>
    </row>
    <row r="45">
      <c r="A45" s="3" t="inlineStr">
        <is>
          <t>AUTOMATION 5: Stale Deal Alerts</t>
        </is>
      </c>
    </row>
    <row r="46">
      <c r="A46" s="4" t="inlineStr">
        <is>
          <t>Metric</t>
        </is>
      </c>
      <c r="B46" s="4" t="inlineStr">
        <is>
          <t>Current</t>
        </is>
      </c>
      <c r="C46" s="4" t="inlineStr">
        <is>
          <t>With Automation</t>
        </is>
      </c>
      <c r="D46" s="4" t="inlineStr">
        <is>
          <t>Improvement</t>
        </is>
      </c>
    </row>
    <row r="47">
      <c r="A47" t="inlineStr">
        <is>
          <t>Deals that go stale per month</t>
        </is>
      </c>
      <c r="B47" s="5" t="n"/>
    </row>
    <row r="48">
      <c r="A48" t="inlineStr">
        <is>
          <t>% recovered with alerts</t>
        </is>
      </c>
      <c r="B48" s="6" t="n">
        <v>0</v>
      </c>
      <c r="C48" s="6" t="n">
        <v>25</v>
      </c>
      <c r="D48" t="inlineStr">
        <is>
          <t>+25%</t>
        </is>
      </c>
    </row>
    <row r="49">
      <c r="A49" t="inlineStr">
        <is>
          <t>Average deal value (€)</t>
        </is>
      </c>
      <c r="B49" s="5" t="n"/>
    </row>
    <row r="51">
      <c r="A51" s="7" t="inlineStr">
        <is>
          <t>Deals recovered per month</t>
        </is>
      </c>
      <c r="D51" s="11">
        <f>B47*(C48/100)</f>
        <v/>
      </c>
    </row>
    <row r="52">
      <c r="A52" s="9" t="inlineStr">
        <is>
          <t>ADDITIONAL MONTHLY REVENUE (€)</t>
        </is>
      </c>
      <c r="D52" s="10">
        <f>D51*B49</f>
        <v/>
      </c>
    </row>
    <row r="55">
      <c r="A55" s="12" t="inlineStr">
        <is>
          <t>TOTAL ROI SUMMARY</t>
        </is>
      </c>
    </row>
    <row r="56">
      <c r="A56" s="4" t="inlineStr">
        <is>
          <t>Automation</t>
        </is>
      </c>
      <c r="B56" s="4" t="inlineStr">
        <is>
          <t>Monthly (€)</t>
        </is>
      </c>
      <c r="C56" s="4" t="inlineStr">
        <is>
          <t>Annual (€)</t>
        </is>
      </c>
      <c r="D56" s="4" t="n"/>
    </row>
    <row r="57">
      <c r="A57" s="6" t="inlineStr">
        <is>
          <t>New Lead Notifications</t>
        </is>
      </c>
      <c r="B57" s="13">
        <f>D14</f>
        <v/>
      </c>
      <c r="C57" s="13">
        <f>B57*12</f>
        <v/>
      </c>
    </row>
    <row r="58">
      <c r="A58" s="6" t="inlineStr">
        <is>
          <t>Meeting No-Show Follow-up</t>
        </is>
      </c>
      <c r="B58" s="13">
        <f>D26</f>
        <v/>
      </c>
      <c r="C58" s="13">
        <f>B58*12</f>
        <v/>
      </c>
    </row>
    <row r="59">
      <c r="A59" s="6" t="inlineStr">
        <is>
          <t>Deal Stage Updates</t>
        </is>
      </c>
      <c r="B59" s="13">
        <f>D34</f>
        <v/>
      </c>
      <c r="C59" s="13">
        <f>B59*12</f>
        <v/>
      </c>
    </row>
    <row r="60">
      <c r="A60" s="6" t="inlineStr">
        <is>
          <t>Task Creation</t>
        </is>
      </c>
      <c r="B60" s="13">
        <f>D43</f>
        <v/>
      </c>
      <c r="C60" s="13">
        <f>B60*12</f>
        <v/>
      </c>
    </row>
    <row r="61">
      <c r="A61" s="6" t="inlineStr">
        <is>
          <t>Stale Deal Alerts</t>
        </is>
      </c>
      <c r="B61" s="13">
        <f>D52</f>
        <v/>
      </c>
      <c r="C61" s="13">
        <f>B61*12</f>
        <v/>
      </c>
    </row>
    <row r="62">
      <c r="A62" s="14" t="inlineStr">
        <is>
          <t>TOTAL</t>
        </is>
      </c>
      <c r="B62" s="15">
        <f>SUM(B57:B61)</f>
        <v/>
      </c>
      <c r="C62" s="15">
        <f>SUM(C57:C61)</f>
        <v/>
      </c>
    </row>
    <row r="64">
      <c r="A64" s="16" t="inlineStr">
        <is>
          <t>Need help implementing? Book a call: https://api.leadconnectorhq.com/widget/booking/YFpWDPuPHUrGFkubfnlX</t>
        </is>
      </c>
    </row>
  </sheetData>
  <mergeCells count="8">
    <mergeCell ref="A5:D5"/>
    <mergeCell ref="A45:D45"/>
    <mergeCell ref="A1:D2"/>
    <mergeCell ref="A3:D3"/>
    <mergeCell ref="A55:D55"/>
    <mergeCell ref="A16:D16"/>
    <mergeCell ref="A28:D28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2026-03-18T12:54:47Z</dcterms:created>
  <dcterms:modified xsi:type="dcterms:W3CDTF">2026-03-18T12:54:47Z</dcterms:modified>
</cp:coreProperties>
</file>