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12"/>
    </font>
    <font>
      <name val="Arial"/>
      <b val="1"/>
      <color rgb="002D6A4F"/>
      <sz val="11"/>
    </font>
    <font>
      <name val="Arial"/>
      <b val="1"/>
      <color rgb="00282C3E"/>
      <sz val="10"/>
    </font>
    <font>
      <name val="Arial"/>
      <b val="1"/>
      <color rgb="00FFFFFF"/>
      <sz val="14"/>
    </font>
    <font>
      <name val="Arial"/>
      <b val="1"/>
      <color rgb="00D4873F"/>
      <sz val="14"/>
    </font>
  </fonts>
  <fills count="8">
    <fill>
      <patternFill/>
    </fill>
    <fill>
      <patternFill patternType="gray125"/>
    </fill>
    <fill>
      <patternFill patternType="solid">
        <fgColor rgb="00161929"/>
        <bgColor rgb="00161929"/>
      </patternFill>
    </fill>
    <fill>
      <patternFill patternType="solid">
        <fgColor rgb="002D6A4F"/>
        <bgColor rgb="002D6A4F"/>
      </patternFill>
    </fill>
    <fill>
      <patternFill patternType="solid">
        <fgColor rgb="00F8FAF9"/>
        <bgColor rgb="00F8FAF9"/>
      </patternFill>
    </fill>
    <fill>
      <patternFill patternType="solid">
        <fgColor rgb="00FFFBEB"/>
        <bgColor rgb="00FFFBEB"/>
      </patternFill>
    </fill>
    <fill>
      <patternFill patternType="solid">
        <fgColor rgb="00DCFCE7"/>
        <bgColor rgb="00DCFCE7"/>
      </patternFill>
    </fill>
    <fill>
      <patternFill patternType="solid">
        <fgColor rgb="00D4873F"/>
        <bgColor rgb="00D4873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4" fillId="6" borderId="1" pivotButton="0" quotePrefix="0" xfId="0"/>
    <xf numFmtId="0" fontId="6" fillId="7" borderId="0" applyAlignment="1" pivotButton="0" quotePrefix="0" xfId="0">
      <alignment horizontal="center"/>
    </xf>
    <xf numFmtId="0" fontId="5" fillId="0" borderId="1" pivotButton="0" quotePrefix="0" xfId="0"/>
    <xf numFmtId="0" fontId="3" fillId="3" borderId="1" pivotButton="0" quotePrefix="0" xfId="0"/>
    <xf numFmtId="0" fontId="6" fillId="3" borderId="1" pivotButton="0" quotePrefix="0" xfId="0"/>
    <xf numFmtId="0" fontId="7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25" customWidth="1" min="4" max="4"/>
  </cols>
  <sheetData>
    <row r="1">
      <c r="A1" s="1" t="inlineStr">
        <is>
          <t>LEAD SCORING MATRIX</t>
        </is>
      </c>
    </row>
    <row r="2"/>
    <row r="3">
      <c r="A3" s="2" t="inlineStr">
        <is>
          <t>Alopex Digital | Enter your scores in yellow cells - total calculates automatically</t>
        </is>
      </c>
    </row>
    <row r="5">
      <c r="A5" s="3" t="inlineStr">
        <is>
          <t>SECTION 1: FIT SCORE (Who They Are) - Max 50 Points</t>
        </is>
      </c>
    </row>
    <row r="7">
      <c r="A7" s="4" t="inlineStr">
        <is>
          <t>JOB TITLE</t>
        </is>
      </c>
    </row>
    <row r="8">
      <c r="A8" s="5" t="inlineStr">
        <is>
          <t>Level</t>
        </is>
      </c>
      <c r="B8" s="5" t="inlineStr">
        <is>
          <t>Max Points</t>
        </is>
      </c>
      <c r="C8" s="5" t="inlineStr">
        <is>
          <t>Your Score</t>
        </is>
      </c>
      <c r="D8" s="5" t="inlineStr">
        <is>
          <t>Notes</t>
        </is>
      </c>
    </row>
    <row r="9">
      <c r="A9" s="6" t="inlineStr">
        <is>
          <t>C-Level (CEO/CFO/CTO/CMO)</t>
        </is>
      </c>
      <c r="B9" s="6" t="n">
        <v>15</v>
      </c>
      <c r="C9" s="7" t="n"/>
      <c r="D9" s="8" t="inlineStr">
        <is>
          <t>Decision maker</t>
        </is>
      </c>
    </row>
    <row r="10">
      <c r="A10" s="6" t="inlineStr">
        <is>
          <t>VP / Director</t>
        </is>
      </c>
      <c r="B10" s="6" t="n">
        <v>12</v>
      </c>
      <c r="C10" s="7" t="n"/>
      <c r="D10" s="8" t="inlineStr">
        <is>
          <t>Strong influence</t>
        </is>
      </c>
    </row>
    <row r="11">
      <c r="A11" s="6" t="inlineStr">
        <is>
          <t>Manager</t>
        </is>
      </c>
      <c r="B11" s="6" t="n">
        <v>8</v>
      </c>
      <c r="C11" s="7" t="n"/>
      <c r="D11" s="8" t="inlineStr">
        <is>
          <t>End user / influencer</t>
        </is>
      </c>
    </row>
    <row r="12">
      <c r="A12" s="6" t="inlineStr">
        <is>
          <t>Individual Contributor</t>
        </is>
      </c>
      <c r="B12" s="6" t="n">
        <v>4</v>
      </c>
      <c r="C12" s="7" t="n"/>
      <c r="D12" s="8" t="inlineStr">
        <is>
          <t>May champion internally</t>
        </is>
      </c>
    </row>
    <row r="13">
      <c r="A13" s="6" t="inlineStr">
        <is>
          <t>Student / Intern</t>
        </is>
      </c>
      <c r="B13" s="6" t="n">
        <v>0</v>
      </c>
      <c r="C13" s="7" t="n"/>
      <c r="D13" s="8" t="inlineStr">
        <is>
          <t>Not a buyer</t>
        </is>
      </c>
    </row>
    <row r="14">
      <c r="A14" s="9" t="inlineStr">
        <is>
          <t>Job Title Score:</t>
        </is>
      </c>
      <c r="C14" s="10">
        <f>MAX(C9:C13)</f>
        <v/>
      </c>
    </row>
    <row r="16">
      <c r="A16" s="4" t="inlineStr">
        <is>
          <t>COMPANY SIZE</t>
        </is>
      </c>
    </row>
    <row r="17">
      <c r="A17" s="5" t="inlineStr">
        <is>
          <t>Size</t>
        </is>
      </c>
      <c r="B17" s="5" t="inlineStr">
        <is>
          <t>Max Points</t>
        </is>
      </c>
      <c r="C17" s="5" t="inlineStr">
        <is>
          <t>Your Score</t>
        </is>
      </c>
      <c r="D17" s="5" t="inlineStr">
        <is>
          <t>Notes</t>
        </is>
      </c>
    </row>
    <row r="18">
      <c r="A18" s="6" t="inlineStr">
        <is>
          <t>Enterprise (1000+)</t>
        </is>
      </c>
      <c r="B18" s="6" t="n">
        <v>15</v>
      </c>
      <c r="C18" s="7" t="n"/>
      <c r="D18" s="8" t="inlineStr">
        <is>
          <t>Highest deal values</t>
        </is>
      </c>
    </row>
    <row r="19">
      <c r="A19" s="6" t="inlineStr">
        <is>
          <t>Mid-Market (100-999)</t>
        </is>
      </c>
      <c r="B19" s="6" t="n">
        <v>12</v>
      </c>
      <c r="C19" s="7" t="n"/>
      <c r="D19" s="8" t="inlineStr">
        <is>
          <t>Sweet spot for many</t>
        </is>
      </c>
    </row>
    <row r="20">
      <c r="A20" s="6" t="inlineStr">
        <is>
          <t>SMB (10-99)</t>
        </is>
      </c>
      <c r="B20" s="6" t="n">
        <v>8</v>
      </c>
      <c r="C20" s="7" t="n"/>
      <c r="D20" s="8" t="inlineStr">
        <is>
          <t>Faster sales cycle</t>
        </is>
      </c>
    </row>
    <row r="21">
      <c r="A21" s="6" t="inlineStr">
        <is>
          <t>Micro (1-9)</t>
        </is>
      </c>
      <c r="B21" s="6" t="n">
        <v>4</v>
      </c>
      <c r="C21" s="7" t="n"/>
      <c r="D21" s="8" t="inlineStr">
        <is>
          <t>May not have budget</t>
        </is>
      </c>
    </row>
    <row r="22">
      <c r="A22" s="9" t="inlineStr">
        <is>
          <t>Company Size Score:</t>
        </is>
      </c>
      <c r="C22" s="10">
        <f>MAX(C18:C21)</f>
        <v/>
      </c>
    </row>
    <row r="24">
      <c r="A24" s="4" t="inlineStr">
        <is>
          <t>INDUSTRY</t>
        </is>
      </c>
    </row>
    <row r="25">
      <c r="A25" s="5" t="inlineStr">
        <is>
          <t>Industry Type</t>
        </is>
      </c>
      <c r="B25" s="5" t="inlineStr">
        <is>
          <t>Max Points</t>
        </is>
      </c>
      <c r="C25" s="5" t="inlineStr">
        <is>
          <t>Your Score</t>
        </is>
      </c>
      <c r="D25" s="5" t="inlineStr">
        <is>
          <t>Your Industry</t>
        </is>
      </c>
    </row>
    <row r="26">
      <c r="A26" s="6" t="inlineStr">
        <is>
          <t>Primary Target Industry 1</t>
        </is>
      </c>
      <c r="B26" s="6" t="n">
        <v>10</v>
      </c>
      <c r="C26" s="7" t="n"/>
      <c r="D26" s="7" t="n"/>
    </row>
    <row r="27">
      <c r="A27" s="6" t="inlineStr">
        <is>
          <t>Primary Target Industry 2</t>
        </is>
      </c>
      <c r="B27" s="6" t="n">
        <v>10</v>
      </c>
      <c r="C27" s="7" t="n"/>
      <c r="D27" s="7" t="n"/>
    </row>
    <row r="28">
      <c r="A28" s="6" t="inlineStr">
        <is>
          <t>Secondary Industry</t>
        </is>
      </c>
      <c r="B28" s="6" t="n">
        <v>6</v>
      </c>
      <c r="C28" s="7" t="n"/>
      <c r="D28" s="7" t="n"/>
    </row>
    <row r="29">
      <c r="A29" s="6" t="inlineStr">
        <is>
          <t>Other B2B</t>
        </is>
      </c>
      <c r="B29" s="6" t="n">
        <v>3</v>
      </c>
      <c r="C29" s="7" t="n"/>
      <c r="D29" s="7" t="n"/>
    </row>
    <row r="30">
      <c r="A30" s="6" t="inlineStr">
        <is>
          <t>Consumer / Non-target</t>
        </is>
      </c>
      <c r="B30" s="6" t="n">
        <v>0</v>
      </c>
      <c r="C30" s="7" t="n"/>
      <c r="D30" s="7" t="n"/>
    </row>
    <row r="31">
      <c r="A31" s="9" t="inlineStr">
        <is>
          <t>Industry Score:</t>
        </is>
      </c>
      <c r="C31" s="10">
        <f>MAX(C26:C30)</f>
        <v/>
      </c>
    </row>
    <row r="33">
      <c r="A33" s="4" t="inlineStr">
        <is>
          <t>GEOGRAPHY</t>
        </is>
      </c>
    </row>
    <row r="34">
      <c r="A34" s="5" t="inlineStr">
        <is>
          <t>Market</t>
        </is>
      </c>
      <c r="B34" s="5" t="inlineStr">
        <is>
          <t>Max Points</t>
        </is>
      </c>
      <c r="C34" s="5" t="inlineStr">
        <is>
          <t>Your Score</t>
        </is>
      </c>
      <c r="D34" s="5" t="inlineStr">
        <is>
          <t>Your Markets</t>
        </is>
      </c>
    </row>
    <row r="35">
      <c r="A35" s="6" t="inlineStr">
        <is>
          <t>Primary Market</t>
        </is>
      </c>
      <c r="B35" s="6" t="n">
        <v>10</v>
      </c>
      <c r="C35" s="7" t="n"/>
      <c r="D35" s="7" t="n"/>
    </row>
    <row r="36">
      <c r="A36" s="6" t="inlineStr">
        <is>
          <t>Secondary Market</t>
        </is>
      </c>
      <c r="B36" s="6" t="n">
        <v>6</v>
      </c>
      <c r="C36" s="7" t="n"/>
      <c r="D36" s="7" t="n"/>
    </row>
    <row r="37">
      <c r="A37" s="6" t="inlineStr">
        <is>
          <t>Tertiary / Other</t>
        </is>
      </c>
      <c r="B37" s="6" t="n">
        <v>3</v>
      </c>
      <c r="C37" s="7" t="n"/>
      <c r="D37" s="7" t="n"/>
    </row>
    <row r="38">
      <c r="A38" s="6" t="inlineStr">
        <is>
          <t>Cannot Serve</t>
        </is>
      </c>
      <c r="B38" s="6" t="n">
        <v>0</v>
      </c>
      <c r="C38" s="7" t="n"/>
      <c r="D38" s="7" t="n"/>
    </row>
    <row r="39">
      <c r="A39" s="9" t="inlineStr">
        <is>
          <t>Geography Score:</t>
        </is>
      </c>
      <c r="C39" s="10">
        <f>MAX(C35:C38)</f>
        <v/>
      </c>
    </row>
    <row r="41">
      <c r="A41" s="4" t="inlineStr">
        <is>
          <t>TOTAL FIT SCORE:</t>
        </is>
      </c>
      <c r="C41" s="11">
        <f>C14+C22+C31+C39</f>
        <v/>
      </c>
      <c r="D41" s="4" t="inlineStr">
        <is>
          <t>/ 50</t>
        </is>
      </c>
    </row>
    <row r="44">
      <c r="A44" s="3" t="inlineStr">
        <is>
          <t>SECTION 2: ENGAGEMENT SCORE (What They Do) - Max 50 Points</t>
        </is>
      </c>
    </row>
    <row r="46">
      <c r="A46" s="4" t="inlineStr">
        <is>
          <t>WEBSITE BEHAVIOR</t>
        </is>
      </c>
    </row>
    <row r="47">
      <c r="A47" s="5" t="inlineStr">
        <is>
          <t>Action</t>
        </is>
      </c>
      <c r="B47" s="5" t="inlineStr">
        <is>
          <t>Points</t>
        </is>
      </c>
      <c r="C47" s="5" t="inlineStr">
        <is>
          <t>Check (1/0)</t>
        </is>
      </c>
      <c r="D47" s="5" t="inlineStr">
        <is>
          <t>Trigger</t>
        </is>
      </c>
    </row>
    <row r="48">
      <c r="A48" s="6" t="inlineStr">
        <is>
          <t>Visited pricing page</t>
        </is>
      </c>
      <c r="B48" s="6" t="n">
        <v>10</v>
      </c>
      <c r="C48" s="7" t="n"/>
      <c r="D48" s="8" t="inlineStr">
        <is>
          <t>URL contains /pricing</t>
        </is>
      </c>
    </row>
    <row r="49">
      <c r="A49" s="6" t="inlineStr">
        <is>
          <t>Visited case studies</t>
        </is>
      </c>
      <c r="B49" s="6" t="n">
        <v>5</v>
      </c>
      <c r="C49" s="7" t="n"/>
      <c r="D49" s="8" t="inlineStr">
        <is>
          <t>URL contains /case</t>
        </is>
      </c>
    </row>
    <row r="50">
      <c r="A50" s="6" t="inlineStr">
        <is>
          <t>Visited 3+ pages</t>
        </is>
      </c>
      <c r="B50" s="6" t="n">
        <v>3</v>
      </c>
      <c r="C50" s="7" t="n"/>
      <c r="D50" s="8" t="inlineStr">
        <is>
          <t>Session pages &gt;= 3</t>
        </is>
      </c>
    </row>
    <row r="51">
      <c r="A51" s="6" t="inlineStr">
        <is>
          <t>Returned visitor</t>
        </is>
      </c>
      <c r="B51" s="6" t="n">
        <v>5</v>
      </c>
      <c r="C51" s="7" t="n"/>
      <c r="D51" s="8" t="inlineStr">
        <is>
          <t>Cookie = returning</t>
        </is>
      </c>
    </row>
    <row r="52">
      <c r="A52" s="9" t="inlineStr">
        <is>
          <t>Website Score:</t>
        </is>
      </c>
      <c r="C52" s="10">
        <f>SUMPRODUCT(B48:B51,C48:C51)</f>
        <v/>
      </c>
    </row>
    <row r="54">
      <c r="A54" s="4" t="inlineStr">
        <is>
          <t>CONTENT ENGAGEMENT</t>
        </is>
      </c>
    </row>
    <row r="55">
      <c r="A55" s="5" t="inlineStr">
        <is>
          <t>Action</t>
        </is>
      </c>
      <c r="B55" s="5" t="inlineStr">
        <is>
          <t>Points</t>
        </is>
      </c>
      <c r="C55" s="5" t="inlineStr">
        <is>
          <t>Check (1/0)</t>
        </is>
      </c>
      <c r="D55" s="5" t="inlineStr">
        <is>
          <t>Trigger</t>
        </is>
      </c>
    </row>
    <row r="56">
      <c r="A56" s="6" t="inlineStr">
        <is>
          <t>Downloaded high-value content</t>
        </is>
      </c>
      <c r="B56" s="6" t="n">
        <v>8</v>
      </c>
      <c r="C56" s="7" t="n"/>
      <c r="D56" s="8" t="inlineStr">
        <is>
          <t>Buyer's Guide / ROI Calc</t>
        </is>
      </c>
    </row>
    <row r="57">
      <c r="A57" s="6" t="inlineStr">
        <is>
          <t>Downloaded educational content</t>
        </is>
      </c>
      <c r="B57" s="6" t="n">
        <v>4</v>
      </c>
      <c r="C57" s="7" t="n"/>
      <c r="D57" s="8" t="inlineStr">
        <is>
          <t>Ebook / Checklist</t>
        </is>
      </c>
    </row>
    <row r="58">
      <c r="A58" s="6" t="inlineStr">
        <is>
          <t>Attended webinar</t>
        </is>
      </c>
      <c r="B58" s="6" t="n">
        <v>6</v>
      </c>
      <c r="C58" s="7" t="n"/>
      <c r="D58" s="8" t="inlineStr">
        <is>
          <t>Webinar registration</t>
        </is>
      </c>
    </row>
    <row r="59">
      <c r="A59" s="6" t="inlineStr">
        <is>
          <t>Watched demo video (&gt;50%)</t>
        </is>
      </c>
      <c r="B59" s="6" t="n">
        <v>5</v>
      </c>
      <c r="C59" s="7" t="n"/>
      <c r="D59" s="8" t="inlineStr">
        <is>
          <t>Video watch &gt;= 50%</t>
        </is>
      </c>
    </row>
    <row r="60">
      <c r="A60" s="9" t="inlineStr">
        <is>
          <t>Content Score:</t>
        </is>
      </c>
      <c r="C60" s="10">
        <f>SUMPRODUCT(B56:B59,C56:C59)</f>
        <v/>
      </c>
    </row>
    <row r="62">
      <c r="A62" s="4" t="inlineStr">
        <is>
          <t>HIGH-INTENT ACTIONS</t>
        </is>
      </c>
    </row>
    <row r="63">
      <c r="A63" s="5" t="inlineStr">
        <is>
          <t>Action</t>
        </is>
      </c>
      <c r="B63" s="5" t="inlineStr">
        <is>
          <t>Points</t>
        </is>
      </c>
      <c r="C63" s="5" t="inlineStr">
        <is>
          <t>Check (1/0)</t>
        </is>
      </c>
      <c r="D63" s="5" t="inlineStr">
        <is>
          <t>Trigger</t>
        </is>
      </c>
    </row>
    <row r="64">
      <c r="A64" s="6" t="inlineStr">
        <is>
          <t>Requested demo/consultation</t>
        </is>
      </c>
      <c r="B64" s="6" t="n">
        <v>15</v>
      </c>
      <c r="C64" s="7" t="n"/>
      <c r="D64" s="8" t="inlineStr">
        <is>
          <t>Form: Demo Request</t>
        </is>
      </c>
    </row>
    <row r="65">
      <c r="A65" s="6" t="inlineStr">
        <is>
          <t>Started free trial</t>
        </is>
      </c>
      <c r="B65" s="6" t="n">
        <v>12</v>
      </c>
      <c r="C65" s="7" t="n"/>
      <c r="D65" s="8" t="inlineStr">
        <is>
          <t>Trial signup</t>
        </is>
      </c>
    </row>
    <row r="66">
      <c r="A66" s="6" t="inlineStr">
        <is>
          <t>Contacted sales directly</t>
        </is>
      </c>
      <c r="B66" s="6" t="n">
        <v>10</v>
      </c>
      <c r="C66" s="7" t="n"/>
      <c r="D66" s="8" t="inlineStr">
        <is>
          <t>Form: Contact Sales</t>
        </is>
      </c>
    </row>
    <row r="67">
      <c r="A67" s="6" t="inlineStr">
        <is>
          <t>Requested pricing</t>
        </is>
      </c>
      <c r="B67" s="6" t="n">
        <v>8</v>
      </c>
      <c r="C67" s="7" t="n"/>
      <c r="D67" s="8" t="inlineStr">
        <is>
          <t>Form: Pricing request</t>
        </is>
      </c>
    </row>
    <row r="68">
      <c r="A68" s="9" t="inlineStr">
        <is>
          <t>Intent Score:</t>
        </is>
      </c>
      <c r="C68" s="10">
        <f>SUMPRODUCT(B64:B67,C64:C67)</f>
        <v/>
      </c>
    </row>
    <row r="70">
      <c r="A70" s="4" t="inlineStr">
        <is>
          <t>TOTAL ENGAGEMENT SCORE:</t>
        </is>
      </c>
      <c r="C70" s="11">
        <f>C52+C60+C68</f>
        <v/>
      </c>
      <c r="D70" s="4" t="inlineStr">
        <is>
          <t>/ 50</t>
        </is>
      </c>
    </row>
    <row r="73">
      <c r="A73" s="12" t="inlineStr">
        <is>
          <t>TOTAL LEAD SCORE</t>
        </is>
      </c>
    </row>
    <row r="75">
      <c r="A75" s="13" t="inlineStr">
        <is>
          <t>Fit Score</t>
        </is>
      </c>
      <c r="C75" s="6">
        <f>C41</f>
        <v/>
      </c>
      <c r="D75" s="6" t="inlineStr">
        <is>
          <t>/ 50</t>
        </is>
      </c>
    </row>
    <row r="76">
      <c r="A76" s="13" t="inlineStr">
        <is>
          <t>Engagement Score</t>
        </is>
      </c>
      <c r="C76" s="6">
        <f>C70</f>
        <v/>
      </c>
      <c r="D76" s="6" t="inlineStr">
        <is>
          <t>/ 50</t>
        </is>
      </c>
    </row>
    <row r="77">
      <c r="A77" s="14" t="inlineStr">
        <is>
          <t>TOTAL LEAD SCORE</t>
        </is>
      </c>
      <c r="C77" s="15">
        <f>C41+C70</f>
        <v/>
      </c>
      <c r="D77" s="14" t="inlineStr">
        <is>
          <t>/ 100</t>
        </is>
      </c>
    </row>
    <row r="80">
      <c r="A80" s="3" t="inlineStr">
        <is>
          <t>LEAD CLASSIFICATION</t>
        </is>
      </c>
    </row>
    <row r="81">
      <c r="A81" s="5" t="inlineStr">
        <is>
          <t>Score Range</t>
        </is>
      </c>
      <c r="B81" s="5" t="inlineStr">
        <is>
          <t>Classification</t>
        </is>
      </c>
      <c r="C81" s="5" t="inlineStr">
        <is>
          <t>Routing</t>
        </is>
      </c>
      <c r="D81" s="5" t="inlineStr">
        <is>
          <t>SLA</t>
        </is>
      </c>
    </row>
    <row r="82">
      <c r="A82" s="6" t="inlineStr">
        <is>
          <t>0-30</t>
        </is>
      </c>
      <c r="B82" s="6" t="inlineStr">
        <is>
          <t>Cold</t>
        </is>
      </c>
      <c r="C82" s="6" t="inlineStr">
        <is>
          <t>Nurture sequence</t>
        </is>
      </c>
      <c r="D82" s="6" t="inlineStr">
        <is>
          <t>Marketing owns</t>
        </is>
      </c>
    </row>
    <row r="83">
      <c r="A83" s="6" t="inlineStr">
        <is>
          <t>31-50</t>
        </is>
      </c>
      <c r="B83" s="6" t="inlineStr">
        <is>
          <t>Warm (MQL)</t>
        </is>
      </c>
      <c r="C83" s="6" t="inlineStr">
        <is>
          <t>Notify sales weekly</t>
        </is>
      </c>
      <c r="D83" s="6" t="inlineStr">
        <is>
          <t>24h response</t>
        </is>
      </c>
    </row>
    <row r="84">
      <c r="A84" s="6" t="inlineStr">
        <is>
          <t>51-70</t>
        </is>
      </c>
      <c r="B84" s="6" t="inlineStr">
        <is>
          <t>Hot (SQL)</t>
        </is>
      </c>
      <c r="C84" s="6" t="inlineStr">
        <is>
          <t>Sales follow-up</t>
        </is>
      </c>
      <c r="D84" s="6" t="inlineStr">
        <is>
          <t>4h response</t>
        </is>
      </c>
    </row>
    <row r="85">
      <c r="A85" s="6" t="inlineStr">
        <is>
          <t>71-85</t>
        </is>
      </c>
      <c r="B85" s="6" t="inlineStr">
        <is>
          <t>Very Hot</t>
        </is>
      </c>
      <c r="C85" s="6" t="inlineStr">
        <is>
          <t>High priority</t>
        </is>
      </c>
      <c r="D85" s="6" t="inlineStr">
        <is>
          <t>1h response</t>
        </is>
      </c>
    </row>
    <row r="86">
      <c r="A86" s="6" t="inlineStr">
        <is>
          <t>86-100</t>
        </is>
      </c>
      <c r="B86" s="6" t="inlineStr">
        <is>
          <t>On Fire</t>
        </is>
      </c>
      <c r="C86" s="6" t="inlineStr">
        <is>
          <t>Urgent</t>
        </is>
      </c>
      <c r="D86" s="6" t="inlineStr">
        <is>
          <t>Immediate</t>
        </is>
      </c>
    </row>
    <row r="88">
      <c r="A88" s="4" t="inlineStr">
        <is>
          <t>THIS LEAD'S CLASSIFICATION:</t>
        </is>
      </c>
      <c r="C88" s="16">
        <f>IF(C77&gt;=86,"ON FIRE",IF(C77&gt;=71,"VERY HOT",IF(C77&gt;=51,"HOT (SQL)",IF(C77&gt;=31,"WARM (MQL)","COLD"))))</f>
        <v/>
      </c>
    </row>
    <row r="90">
      <c r="A90" s="17" t="inlineStr">
        <is>
          <t>Need help implementing? Book a call: https://api.leadconnectorhq.com/widget/booking/YFpWDPuPHUrGFkubfnlX</t>
        </is>
      </c>
    </row>
  </sheetData>
  <mergeCells count="6">
    <mergeCell ref="A5:D5"/>
    <mergeCell ref="A80:D80"/>
    <mergeCell ref="A1:D2"/>
    <mergeCell ref="A3:D3"/>
    <mergeCell ref="A73:D7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2026-03-18T12:54:47Z</dcterms:created>
  <dcterms:modified xsi:type="dcterms:W3CDTF">2026-03-18T12:54:47Z</dcterms:modified>
</cp:coreProperties>
</file>